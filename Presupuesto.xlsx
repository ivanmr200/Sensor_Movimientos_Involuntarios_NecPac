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col\Desktop\Universidad\Necesidades_Paciente\Practica\"/>
    </mc:Choice>
  </mc:AlternateContent>
  <xr:revisionPtr revIDLastSave="0" documentId="13_ncr:1_{C0C762CB-FF0B-4479-8835-A26B7A5092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M29" i="1"/>
  <c r="M28" i="1"/>
  <c r="M26" i="1"/>
  <c r="M17" i="1"/>
  <c r="M18" i="1"/>
  <c r="M19" i="1"/>
  <c r="M20" i="1"/>
  <c r="M21" i="1"/>
  <c r="M22" i="1"/>
  <c r="M23" i="1"/>
  <c r="M24" i="1"/>
  <c r="M25" i="1"/>
  <c r="M16" i="1"/>
</calcChain>
</file>

<file path=xl/sharedStrings.xml><?xml version="1.0" encoding="utf-8"?>
<sst xmlns="http://schemas.openxmlformats.org/spreadsheetml/2006/main" count="48" uniqueCount="37">
  <si>
    <t>PRESUPUESTO</t>
  </si>
  <si>
    <r>
      <rPr>
        <b/>
        <sz val="11"/>
        <color theme="1"/>
        <rFont val="Calibri"/>
        <family val="2"/>
        <scheme val="minor"/>
      </rPr>
      <t>PRESUPUESTO</t>
    </r>
    <r>
      <rPr>
        <sz val="11"/>
        <color theme="1"/>
        <rFont val="Calibri"/>
        <family val="2"/>
        <scheme val="minor"/>
      </rPr>
      <t xml:space="preserve"> Nº: 00001</t>
    </r>
  </si>
  <si>
    <r>
      <rPr>
        <b/>
        <sz val="11"/>
        <color theme="1"/>
        <rFont val="Calibri"/>
        <family val="2"/>
        <scheme val="minor"/>
      </rPr>
      <t>FECHA</t>
    </r>
    <r>
      <rPr>
        <sz val="11"/>
        <color theme="1"/>
        <rFont val="Calibri"/>
        <family val="2"/>
        <scheme val="minor"/>
      </rPr>
      <t>: 23/4/2026</t>
    </r>
  </si>
  <si>
    <r>
      <rPr>
        <b/>
        <sz val="11"/>
        <color theme="1"/>
        <rFont val="Calibri"/>
        <family val="2"/>
        <scheme val="minor"/>
      </rPr>
      <t>VALIDEZ</t>
    </r>
    <r>
      <rPr>
        <sz val="11"/>
        <color theme="1"/>
        <rFont val="Calibri"/>
        <family val="2"/>
        <scheme val="minor"/>
      </rPr>
      <t>: 30/4/2026</t>
    </r>
  </si>
  <si>
    <t>Guante Mov. Involuntarios</t>
  </si>
  <si>
    <t>DNI: 71707645G</t>
  </si>
  <si>
    <t>Escuela Politécnica Superior. Campus Milanera</t>
  </si>
  <si>
    <t>Cliente</t>
  </si>
  <si>
    <t>C. Autónoma, 11, Traseras</t>
  </si>
  <si>
    <t>09001, Burgos</t>
  </si>
  <si>
    <t>Burgos</t>
  </si>
  <si>
    <t>ngg1017@alu.ubu.es</t>
  </si>
  <si>
    <t>C/ Villadiego s/n</t>
  </si>
  <si>
    <t>REF.</t>
  </si>
  <si>
    <t>Descripción</t>
  </si>
  <si>
    <t>Cantidad</t>
  </si>
  <si>
    <t>Precio</t>
  </si>
  <si>
    <t>Importe</t>
  </si>
  <si>
    <t>Link</t>
  </si>
  <si>
    <t>Arduino UNO R3 micro controlador</t>
  </si>
  <si>
    <t>Sensor de distancia ultrasonica 3 pines</t>
  </si>
  <si>
    <t>Sensor de fuerza</t>
  </si>
  <si>
    <t xml:space="preserve">Sensor de inclinación </t>
  </si>
  <si>
    <t xml:space="preserve">Kit de resistencias variadas </t>
  </si>
  <si>
    <t>Kit de cables variados</t>
  </si>
  <si>
    <t>Kit de leds</t>
  </si>
  <si>
    <t>Mini placa de pruebas</t>
  </si>
  <si>
    <t>Placa de prueba</t>
  </si>
  <si>
    <t>Pantalla LCD 16x2 (I2C)</t>
  </si>
  <si>
    <t>MO00001</t>
  </si>
  <si>
    <t>Mano de obra del montaje y la programacion</t>
  </si>
  <si>
    <r>
      <t xml:space="preserve">Forma de pago:                       </t>
    </r>
    <r>
      <rPr>
        <sz val="11"/>
        <color theme="1"/>
        <rFont val="Calibri"/>
        <family val="2"/>
        <scheme val="minor"/>
      </rPr>
      <t>Trasferencia bancaria</t>
    </r>
  </si>
  <si>
    <t>Aceptación del cliente</t>
  </si>
  <si>
    <t>Firma y sello</t>
  </si>
  <si>
    <t xml:space="preserve">BASE IMPONIBLE  </t>
  </si>
  <si>
    <t>21% IVA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</si>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</sst>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C0A]_-;\-* #,##0.00\ [$€-C0A]_-;_-* &quot;-&quot;??\ [$€-C0A]_-;_-@_-"/>
    <numFmt numFmtId="165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3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3" fillId="0" borderId="0" xfId="1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4" fillId="0" borderId="7" xfId="0" applyFont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0" fontId="1" fillId="0" borderId="0" xfId="0" applyFont="1" applyFill="1"/>
    <xf numFmtId="0" fontId="0" fillId="0" borderId="0" xfId="0" applyFill="1"/>
    <xf numFmtId="165" fontId="0" fillId="2" borderId="0" xfId="0" applyNumberFormat="1" applyFill="1" applyAlignment="1"/>
    <xf numFmtId="0" fontId="0" fillId="3" borderId="0" xfId="0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167640</xdr:colOff>
      <xdr:row>0</xdr:row>
      <xdr:rowOff>0</xdr:rowOff>
    </xdr:from>
    <xdr:to>
      <xdr:col>13</xdr:col>
      <xdr:colOff>30480</xdr:colOff>
      <xdr:row>2</xdr:row>
      <xdr:rowOff>167640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81472F-6877-4E2F-4C3D-E27813FB7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6180" y="0"/>
          <a:ext cx="53340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es/Emisores-Componentes-Electr%C3%B3nicos-L%C3%A1mpara-Brillante/dp/B0C77XJNFV?source=ps-sl-shoppingads-lpcontext&amp;smid=A23W072NMCWOT&amp;th=1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www.mouser.es/ProductDetail/Parallax/28015?qs=Re%252Bcz0%2FMYCKqvqZW3g9mzg%3D%3D" TargetMode="External"/><Relationship Id="rId7" Type="http://schemas.openxmlformats.org/officeDocument/2006/relationships/hyperlink" Target="https://www.amazon.es/AZDelivery-Macho-Hembra-Macho-Macho-Hembra-Hembra-Compatible/dp/B074P726ZR?dib=eyJ2IjoiMSJ9.tOSdTTGqBxfQVU79Jw-zS2nrC0hngl5tCJM9KuGlRLi0VLUNQCyBcrtbY5DcosThDrA2O0fgqvRlqDrkSxPJqPahFFx4iVd_0HElV0lXDmIsOQ4aDZzTXzK9kfgXh6sMg4Gmw6TUSNYTaeFRT4vgntMDKrUGMHk829ps_zp2UZHrtWLW1U5BDwT87k2eNrM_do0fyQLZvRQOAoil2juI1cv03yakRk-cTuuioCS24I3d0o_EIH7v93Bi6k3X2Behmwa5UdSMPQhxJ0Mp2_z1BLih5ZHcWkA4TiEizWL7SQs.e7CIZvRstoc6HFUxAQZ4EZUUR3H9Q3Dek1tyyQB-Nkk&amp;dib_tag=se&amp;keywords=cable%2Barduino&amp;qid=1772705489&amp;sr=8-7&amp;th=1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amazon.es/Arduino-UNO-A000066-microcontrolador-ATmega328/dp/B008GRTSV6?dib=eyJ2IjoiMSJ9.N8nF-4nrSGrUBX0eJZ8DQ8DKh0mgU1tIQp3JWbKwxTXy3sdF_TJPsffGbx3wg3lJ-aJHRw1ErwiXtqa11u8hEPiuMOeGWU1Jfh0inHr_024883IumiQHIfZvfqRKpE_t0k1SFy4w2IFxxryi3CG20urU-ZE63AH7m31K4oA6lk-c76F4rxin6Rl_Np3GoVueO0OtptSQVKOMrY8VcpxrqY-4PW2kTipK6jsnd-4MQvrLQh92QB9tWmD1t-QJ8stjMsYQhAA30iVyHSdEWsckBEP4yCab9pK1ceXMcDWYrwM.18On-UD9pnm7if3yUQADTqcjmN0ZFEqn6Guu_Q2Qcso&amp;dib_tag=se&amp;keywords=arduino%2Buno%2Br3&amp;qid=1772704810&amp;sr=8-1&amp;th=1" TargetMode="External"/><Relationship Id="rId1" Type="http://schemas.openxmlformats.org/officeDocument/2006/relationships/hyperlink" Target="mailto:ngg1017@alu.ubu.es" TargetMode="External"/><Relationship Id="rId6" Type="http://schemas.openxmlformats.org/officeDocument/2006/relationships/hyperlink" Target="https://www.amazon.es/Kit-resistencia-640-tolerancia-electr%C3%B3nicos/dp/B0GL8CGGRX?dib=eyJ2IjoiMSJ9.iJ448UsRLR8JWXSdS69UaswP69Es0Cl_vF0YZPI48oJf07FGQnPnTtFpSsU2fbEqFU6S6db-14pdW1MkZi-DipwPM0xr6_XbEKVUfssn_jhSKWUntH96U6iAANil_aDQCNYQ9_L7UQldvhrgS3B_O76K8lvx9yoPr0YMpN-P7bji-euCtZTI5wE0d3JEpi7RFS2ifFebAXOcO0Lu4td7wNWd4QsJCKpOX2Zm1jBM9FTC8jNT7o93fa82vc0Bpiy1vU9NwqdSIE0c-w2Nn9ww4Qppy18FftV5Jei6e46ftso.qnjtemWyd3NsL5N-uT-_iwFh-O6RJAu3Ewhg6nfrwHs&amp;dib_tag=se&amp;keywords=resistencia+arduino&amp;qid=1772705272&amp;sr=8-12" TargetMode="External"/><Relationship Id="rId11" Type="http://schemas.openxmlformats.org/officeDocument/2006/relationships/hyperlink" Target="https://www.digikey.es/es/products/detail/sunfounder/CN0295D/18668612" TargetMode="External"/><Relationship Id="rId5" Type="http://schemas.openxmlformats.org/officeDocument/2006/relationships/hyperlink" Target="https://funduinoshop.com/es/modulos-electronicos/sensores/movimiento-y-distancia/sensor-de-inclinacion-sw-520d/sensor-de-vibracion" TargetMode="External"/><Relationship Id="rId10" Type="http://schemas.openxmlformats.org/officeDocument/2006/relationships/hyperlink" Target="https://eu.robotshop.com/es/products/placa-de-pruebas-panel-unico" TargetMode="External"/><Relationship Id="rId4" Type="http://schemas.openxmlformats.org/officeDocument/2006/relationships/hyperlink" Target="https://www.amazon.es/Resistencia-detecci%C3%B3n-Hilitand-pel%C3%ADcula-resistencia/dp/B07DB37NZM?source=ps-sl-shoppingads-lpcontext&amp;psc=1&amp;smid=A2LZADUCQG7RBO" TargetMode="External"/><Relationship Id="rId9" Type="http://schemas.openxmlformats.org/officeDocument/2006/relationships/hyperlink" Target="https://eu.robotshop.com/es/products/placa-pruebas-mini-170-puntos-servocity?variant=49200940351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6"/>
  <sheetViews>
    <sheetView tabSelected="1" workbookViewId="0">
      <selection activeCell="M38" sqref="M38"/>
    </sheetView>
  </sheetViews>
  <sheetFormatPr baseColWidth="10" defaultColWidth="8.88671875" defaultRowHeight="14.4" x14ac:dyDescent="0.3"/>
  <cols>
    <col min="1" max="1" width="9.6640625" customWidth="1"/>
    <col min="12" max="12" width="11.33203125" bestFit="1" customWidth="1"/>
    <col min="13" max="13" width="9.77734375" customWidth="1"/>
    <col min="14" max="14" width="9.44140625" bestFit="1" customWidth="1"/>
  </cols>
  <sheetData>
    <row r="1" spans="1:14" x14ac:dyDescent="0.3">
      <c r="A1" s="7" t="s">
        <v>0</v>
      </c>
      <c r="B1" s="7"/>
      <c r="C1" s="7"/>
      <c r="D1" s="7"/>
      <c r="E1" s="7"/>
    </row>
    <row r="2" spans="1:14" x14ac:dyDescent="0.3">
      <c r="A2" s="7"/>
      <c r="B2" s="7"/>
      <c r="C2" s="7"/>
      <c r="D2" s="7"/>
      <c r="E2" s="7"/>
    </row>
    <row r="3" spans="1:14" x14ac:dyDescent="0.3">
      <c r="A3" s="7"/>
      <c r="B3" s="7"/>
      <c r="C3" s="7"/>
      <c r="D3" s="7"/>
      <c r="E3" s="7"/>
    </row>
    <row r="5" spans="1:14" x14ac:dyDescent="0.3">
      <c r="A5" s="8" t="s">
        <v>1</v>
      </c>
      <c r="B5" s="8"/>
      <c r="C5" s="8"/>
      <c r="D5" s="1"/>
      <c r="E5" s="1"/>
      <c r="F5" s="1"/>
      <c r="G5" s="1"/>
      <c r="H5" s="1"/>
      <c r="I5" s="8" t="s">
        <v>2</v>
      </c>
      <c r="J5" s="8"/>
      <c r="K5" s="1"/>
      <c r="L5" s="8" t="s">
        <v>3</v>
      </c>
      <c r="M5" s="8"/>
      <c r="N5" s="8"/>
    </row>
    <row r="7" spans="1:14" x14ac:dyDescent="0.3">
      <c r="A7" s="9" t="s">
        <v>4</v>
      </c>
      <c r="B7" s="9"/>
      <c r="C7" s="9"/>
      <c r="J7" s="2" t="s">
        <v>7</v>
      </c>
    </row>
    <row r="8" spans="1:14" x14ac:dyDescent="0.3">
      <c r="A8" s="2" t="s">
        <v>5</v>
      </c>
      <c r="J8" s="10" t="s">
        <v>6</v>
      </c>
      <c r="K8" s="10"/>
      <c r="L8" s="10"/>
      <c r="M8" s="10"/>
      <c r="N8" s="10"/>
    </row>
    <row r="9" spans="1:14" x14ac:dyDescent="0.3">
      <c r="A9" s="4" t="s">
        <v>8</v>
      </c>
      <c r="B9" s="4"/>
      <c r="C9" s="4"/>
      <c r="J9" s="4" t="s">
        <v>12</v>
      </c>
      <c r="K9" s="4"/>
    </row>
    <row r="10" spans="1:14" x14ac:dyDescent="0.3">
      <c r="A10" s="4" t="s">
        <v>9</v>
      </c>
      <c r="B10" s="4"/>
      <c r="J10" s="4" t="s">
        <v>9</v>
      </c>
      <c r="K10" s="4"/>
    </row>
    <row r="11" spans="1:14" x14ac:dyDescent="0.3">
      <c r="A11" t="s">
        <v>10</v>
      </c>
      <c r="J11" t="s">
        <v>10</v>
      </c>
    </row>
    <row r="12" spans="1:14" x14ac:dyDescent="0.3">
      <c r="A12" s="6">
        <v>34628676894</v>
      </c>
      <c r="B12" s="6"/>
    </row>
    <row r="13" spans="1:14" x14ac:dyDescent="0.3">
      <c r="A13" s="5" t="s">
        <v>11</v>
      </c>
      <c r="B13" s="5"/>
    </row>
    <row r="15" spans="1:14" x14ac:dyDescent="0.3">
      <c r="A15" s="11" t="s">
        <v>13</v>
      </c>
      <c r="B15" s="1"/>
      <c r="C15" s="12" t="s">
        <v>14</v>
      </c>
      <c r="D15" s="12"/>
      <c r="E15" s="1"/>
      <c r="F15" s="11"/>
      <c r="G15" s="1"/>
      <c r="H15" s="11" t="s">
        <v>15</v>
      </c>
      <c r="I15" s="1"/>
      <c r="J15" s="1"/>
      <c r="K15" s="1" t="s">
        <v>16</v>
      </c>
      <c r="L15" s="11"/>
      <c r="M15" s="1" t="s">
        <v>17</v>
      </c>
      <c r="N15" s="1"/>
    </row>
    <row r="16" spans="1:14" x14ac:dyDescent="0.3">
      <c r="A16" s="13" t="s">
        <v>18</v>
      </c>
      <c r="C16" s="4" t="s">
        <v>19</v>
      </c>
      <c r="D16" s="4"/>
      <c r="E16" s="4"/>
      <c r="F16" s="4"/>
      <c r="H16" s="14">
        <v>1</v>
      </c>
      <c r="K16" s="16">
        <v>29.3</v>
      </c>
      <c r="M16" s="16">
        <f>K16*H16</f>
        <v>29.3</v>
      </c>
      <c r="N16" s="15"/>
    </row>
    <row r="17" spans="1:14" x14ac:dyDescent="0.3">
      <c r="A17" s="13" t="s">
        <v>18</v>
      </c>
      <c r="C17" s="4" t="s">
        <v>20</v>
      </c>
      <c r="D17" s="4"/>
      <c r="E17" s="4"/>
      <c r="F17" s="4"/>
      <c r="H17" s="14">
        <v>3</v>
      </c>
      <c r="K17" s="17">
        <v>30.06</v>
      </c>
      <c r="M17" s="16">
        <f t="shared" ref="M17:M25" si="0">K17*H17</f>
        <v>90.179999999999993</v>
      </c>
    </row>
    <row r="18" spans="1:14" x14ac:dyDescent="0.3">
      <c r="A18" s="13" t="s">
        <v>18</v>
      </c>
      <c r="C18" s="4" t="s">
        <v>21</v>
      </c>
      <c r="D18" s="4"/>
      <c r="H18" s="14">
        <v>1</v>
      </c>
      <c r="K18" s="17">
        <v>7.68</v>
      </c>
      <c r="M18" s="16">
        <f t="shared" si="0"/>
        <v>7.68</v>
      </c>
    </row>
    <row r="19" spans="1:14" x14ac:dyDescent="0.3">
      <c r="A19" s="13" t="s">
        <v>18</v>
      </c>
      <c r="C19" s="4" t="s">
        <v>22</v>
      </c>
      <c r="D19" s="4"/>
      <c r="E19" s="4"/>
      <c r="H19" s="14">
        <v>1</v>
      </c>
      <c r="K19" s="17">
        <v>0.82</v>
      </c>
      <c r="M19" s="16">
        <f t="shared" si="0"/>
        <v>0.82</v>
      </c>
    </row>
    <row r="20" spans="1:14" x14ac:dyDescent="0.3">
      <c r="A20" s="13" t="s">
        <v>18</v>
      </c>
      <c r="C20" s="4" t="s">
        <v>23</v>
      </c>
      <c r="D20" s="4"/>
      <c r="E20" s="4"/>
      <c r="H20" s="14">
        <v>1</v>
      </c>
      <c r="K20" s="17">
        <v>7.33</v>
      </c>
      <c r="M20" s="16">
        <f t="shared" si="0"/>
        <v>7.33</v>
      </c>
    </row>
    <row r="21" spans="1:14" x14ac:dyDescent="0.3">
      <c r="A21" s="13" t="s">
        <v>18</v>
      </c>
      <c r="C21" s="4" t="s">
        <v>24</v>
      </c>
      <c r="D21" s="4"/>
      <c r="E21" s="4"/>
      <c r="H21" s="14">
        <v>1</v>
      </c>
      <c r="K21" s="17">
        <v>7.99</v>
      </c>
      <c r="M21" s="16">
        <f t="shared" si="0"/>
        <v>7.99</v>
      </c>
    </row>
    <row r="22" spans="1:14" x14ac:dyDescent="0.3">
      <c r="A22" s="13" t="s">
        <v>18</v>
      </c>
      <c r="C22" s="3" t="s">
        <v>25</v>
      </c>
      <c r="H22" s="14">
        <v>1</v>
      </c>
      <c r="K22" s="17">
        <v>5.99</v>
      </c>
      <c r="M22" s="16">
        <f t="shared" si="0"/>
        <v>5.99</v>
      </c>
    </row>
    <row r="23" spans="1:14" x14ac:dyDescent="0.3">
      <c r="A23" s="13" t="s">
        <v>18</v>
      </c>
      <c r="C23" s="4" t="s">
        <v>26</v>
      </c>
      <c r="D23" s="4"/>
      <c r="E23" s="4"/>
      <c r="H23" s="14">
        <v>1</v>
      </c>
      <c r="K23" s="17">
        <v>2.19</v>
      </c>
      <c r="M23" s="16">
        <f t="shared" si="0"/>
        <v>2.19</v>
      </c>
    </row>
    <row r="24" spans="1:14" x14ac:dyDescent="0.3">
      <c r="A24" s="13" t="s">
        <v>18</v>
      </c>
      <c r="C24" s="4" t="s">
        <v>27</v>
      </c>
      <c r="D24" s="4"/>
      <c r="H24" s="14">
        <v>1</v>
      </c>
      <c r="K24" s="17">
        <v>5.44</v>
      </c>
      <c r="M24" s="16">
        <f t="shared" si="0"/>
        <v>5.44</v>
      </c>
    </row>
    <row r="25" spans="1:14" x14ac:dyDescent="0.3">
      <c r="A25" s="13" t="s">
        <v>18</v>
      </c>
      <c r="C25" s="4" t="s">
        <v>28</v>
      </c>
      <c r="D25" s="4"/>
      <c r="E25" s="4"/>
      <c r="H25" s="14">
        <v>1</v>
      </c>
      <c r="K25" s="17">
        <v>7.55</v>
      </c>
      <c r="M25" s="16">
        <f t="shared" si="0"/>
        <v>7.55</v>
      </c>
    </row>
    <row r="26" spans="1:14" x14ac:dyDescent="0.3">
      <c r="A26" t="s">
        <v>29</v>
      </c>
      <c r="C26" s="4" t="s">
        <v>30</v>
      </c>
      <c r="D26" s="4"/>
      <c r="E26" s="4"/>
      <c r="F26" s="4"/>
      <c r="G26" s="4"/>
      <c r="H26" s="14">
        <v>150</v>
      </c>
      <c r="K26" s="17">
        <v>13.13</v>
      </c>
      <c r="M26" s="16">
        <f>K26*H26</f>
        <v>1969.5000000000002</v>
      </c>
      <c r="N26" s="18"/>
    </row>
    <row r="28" spans="1:14" x14ac:dyDescent="0.3">
      <c r="A28" s="12" t="s">
        <v>31</v>
      </c>
      <c r="B28" s="12"/>
      <c r="C28" s="12"/>
      <c r="D28" s="12"/>
      <c r="E28" s="12"/>
      <c r="F28" s="12"/>
      <c r="I28" s="30"/>
      <c r="J28" s="31"/>
      <c r="K28" s="11" t="s">
        <v>34</v>
      </c>
      <c r="L28" s="32"/>
      <c r="M28" s="29">
        <f>SUM(M16:M26)</f>
        <v>2133.9700000000003</v>
      </c>
      <c r="N28" s="29"/>
    </row>
    <row r="29" spans="1:14" x14ac:dyDescent="0.3">
      <c r="K29" s="11" t="s">
        <v>35</v>
      </c>
      <c r="L29" s="1"/>
      <c r="M29" s="29">
        <f>M28*0.21</f>
        <v>448.13370000000003</v>
      </c>
      <c r="N29" s="33"/>
    </row>
    <row r="30" spans="1:14" ht="18" x14ac:dyDescent="0.35">
      <c r="A30" s="20"/>
      <c r="B30" s="27" t="s">
        <v>32</v>
      </c>
      <c r="C30" s="27"/>
      <c r="D30" s="27"/>
      <c r="E30" s="27"/>
      <c r="F30" s="21"/>
      <c r="K30" s="35" t="s">
        <v>36</v>
      </c>
      <c r="L30" s="35"/>
      <c r="M30" s="34">
        <f>M28+M29</f>
        <v>2582.1037000000001</v>
      </c>
      <c r="N30" s="34"/>
    </row>
    <row r="31" spans="1:14" x14ac:dyDescent="0.3">
      <c r="A31" s="22"/>
      <c r="B31" s="19"/>
      <c r="C31" s="19"/>
      <c r="D31" s="19"/>
      <c r="E31" s="19"/>
      <c r="F31" s="23"/>
    </row>
    <row r="32" spans="1:14" x14ac:dyDescent="0.3">
      <c r="A32" s="22"/>
      <c r="B32" s="19"/>
      <c r="C32" s="19"/>
      <c r="D32" s="19"/>
      <c r="E32" s="19"/>
      <c r="F32" s="23"/>
    </row>
    <row r="33" spans="1:6" x14ac:dyDescent="0.3">
      <c r="A33" s="22"/>
      <c r="B33" s="19"/>
      <c r="C33" s="19"/>
      <c r="D33" s="19"/>
      <c r="E33" s="19"/>
      <c r="F33" s="23"/>
    </row>
    <row r="34" spans="1:6" x14ac:dyDescent="0.3">
      <c r="A34" s="24"/>
      <c r="B34" s="25"/>
      <c r="C34" s="28" t="s">
        <v>33</v>
      </c>
      <c r="D34" s="28"/>
      <c r="E34" s="25"/>
      <c r="F34" s="26"/>
    </row>
    <row r="35" spans="1:6" x14ac:dyDescent="0.3">
      <c r="A35" s="19"/>
      <c r="B35" s="19"/>
      <c r="C35" s="19"/>
      <c r="D35" s="19"/>
      <c r="E35" s="19"/>
      <c r="F35" s="19"/>
    </row>
    <row r="36" spans="1:6" x14ac:dyDescent="0.3">
      <c r="A36" s="19"/>
      <c r="B36" s="19"/>
      <c r="C36" s="19"/>
      <c r="D36" s="19"/>
      <c r="E36" s="19"/>
      <c r="F36" s="19"/>
    </row>
  </sheetData>
  <mergeCells count="30">
    <mergeCell ref="C34:D34"/>
    <mergeCell ref="M28:N28"/>
    <mergeCell ref="M29:N29"/>
    <mergeCell ref="M30:N30"/>
    <mergeCell ref="K30:L30"/>
    <mergeCell ref="C25:E25"/>
    <mergeCell ref="C26:G26"/>
    <mergeCell ref="A28:F28"/>
    <mergeCell ref="B30:E30"/>
    <mergeCell ref="C19:E19"/>
    <mergeCell ref="C20:E20"/>
    <mergeCell ref="C21:E21"/>
    <mergeCell ref="C23:E23"/>
    <mergeCell ref="C24:D24"/>
    <mergeCell ref="J8:N8"/>
    <mergeCell ref="C15:D15"/>
    <mergeCell ref="C16:F16"/>
    <mergeCell ref="C17:F17"/>
    <mergeCell ref="C18:D18"/>
    <mergeCell ref="A1:E3"/>
    <mergeCell ref="A5:C5"/>
    <mergeCell ref="I5:J5"/>
    <mergeCell ref="L5:N5"/>
    <mergeCell ref="A7:C7"/>
    <mergeCell ref="A9:C9"/>
    <mergeCell ref="A10:B10"/>
    <mergeCell ref="A13:B13"/>
    <mergeCell ref="J9:K9"/>
    <mergeCell ref="J10:K10"/>
    <mergeCell ref="A12:B12"/>
  </mergeCells>
  <hyperlinks>
    <hyperlink ref="A13" r:id="rId1" xr:uid="{CEDF77E6-CEFC-4E05-A17A-3B6553E09B49}"/>
    <hyperlink ref="A16" r:id="rId2" xr:uid="{A060B0A9-41D9-4AC2-B5B2-3120E03DC529}"/>
    <hyperlink ref="A17" r:id="rId3" xr:uid="{4D96ABC7-BA44-42F9-ADA8-06E5FF587AC3}"/>
    <hyperlink ref="A18" r:id="rId4" xr:uid="{8A42F5F3-A5F5-4AF0-89B9-04B721862B1C}"/>
    <hyperlink ref="A19" r:id="rId5" xr:uid="{7096B331-D1C5-4854-A7C9-31CF3A514ACC}"/>
    <hyperlink ref="A20" r:id="rId6" xr:uid="{55A6CFC9-3067-4058-8896-25C92E205F9C}"/>
    <hyperlink ref="A21" r:id="rId7" xr:uid="{7F562252-A125-4C66-8899-E88F3A0DA518}"/>
    <hyperlink ref="A22" r:id="rId8" xr:uid="{EAB59F44-DD3E-4F5A-B3D9-D622073B24E2}"/>
    <hyperlink ref="A23" r:id="rId9" xr:uid="{8C904071-4932-4A1A-85A5-5B82E8C4DCAB}"/>
    <hyperlink ref="A24" r:id="rId10" xr:uid="{CDB1B66F-98DB-42B7-A2D2-6C33C0744893}"/>
    <hyperlink ref="A25" r:id="rId11" xr:uid="{ED98B496-B5B5-478E-92D1-285E6B588920}"/>
  </hyperlinks>
  <pageMargins left="0.25" right="0.25" top="0.75" bottom="0.75" header="0.3" footer="0.3"/>
  <pageSetup paperSize="9" scale="97" orientation="landscape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Garcia</dc:creator>
  <cp:lastModifiedBy>Nicolas Garcia</cp:lastModifiedBy>
  <cp:lastPrinted>2026-03-05T10:41:53Z</cp:lastPrinted>
  <dcterms:created xsi:type="dcterms:W3CDTF">2015-06-05T18:19:34Z</dcterms:created>
  <dcterms:modified xsi:type="dcterms:W3CDTF">2026-03-05T10:42:10Z</dcterms:modified>
</cp:coreProperties>
</file>